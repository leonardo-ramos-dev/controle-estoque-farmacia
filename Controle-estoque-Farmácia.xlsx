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macia\Desktop\"/>
    </mc:Choice>
  </mc:AlternateContent>
  <xr:revisionPtr revIDLastSave="0" documentId="13_ncr:1_{8FFAF58E-A725-4140-AD19-5C16BD94EE89}" xr6:coauthVersionLast="47" xr6:coauthVersionMax="47" xr10:uidLastSave="{00000000-0000-0000-0000-000000000000}"/>
  <bookViews>
    <workbookView xWindow="-120" yWindow="-120" windowWidth="29040" windowHeight="15840" xr2:uid="{A8700A7F-B238-44B3-8C73-4C91AFA59858}"/>
  </bookViews>
  <sheets>
    <sheet name="Controle_estoque" sheetId="1" r:id="rId1"/>
  </sheets>
  <definedNames>
    <definedName name="_xlnm._FilterDatabase" localSheetId="0" hidden="1">Controle_estoque!$A$1:$H$9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G4" i="1"/>
  <c r="G5" i="1"/>
  <c r="G6" i="1"/>
  <c r="G7" i="1"/>
  <c r="G8" i="1"/>
  <c r="G9" i="1"/>
  <c r="F4" i="1"/>
  <c r="F5" i="1"/>
  <c r="F6" i="1"/>
  <c r="F7" i="1"/>
  <c r="F8" i="1"/>
  <c r="F9" i="1"/>
  <c r="F3" i="1"/>
  <c r="F2" i="1"/>
</calcChain>
</file>

<file path=xl/sharedStrings.xml><?xml version="1.0" encoding="utf-8"?>
<sst xmlns="http://schemas.openxmlformats.org/spreadsheetml/2006/main" count="24" uniqueCount="24">
  <si>
    <t>PRODUTO</t>
  </si>
  <si>
    <t>CLASSE</t>
  </si>
  <si>
    <t>ENTRADA</t>
  </si>
  <si>
    <t>SAÍDA</t>
  </si>
  <si>
    <t>ESTOQUE ATUAL</t>
  </si>
  <si>
    <t>ESTOQUE ANTERIOR</t>
  </si>
  <si>
    <t>DATA</t>
  </si>
  <si>
    <t>Ibuprofeno 600mg</t>
  </si>
  <si>
    <t>Clonazepam 2mg</t>
  </si>
  <si>
    <t>Benzodiazepínico</t>
  </si>
  <si>
    <t>Loratadina 10mg</t>
  </si>
  <si>
    <t>Acetilcisteína 600mg/5g</t>
  </si>
  <si>
    <t>Mucolítico</t>
  </si>
  <si>
    <t>Ácido Acetilsalicílico 100mg</t>
  </si>
  <si>
    <t>Anti-inflamatórios Não Esteroidais</t>
  </si>
  <si>
    <t>Risperidona 2mg</t>
  </si>
  <si>
    <t>Antipsicótico Atípico</t>
  </si>
  <si>
    <t>Amoxicilina 500mg</t>
  </si>
  <si>
    <t>Antibiótico</t>
  </si>
  <si>
    <t>Atorvastatina 40mg</t>
  </si>
  <si>
    <t>Estatina</t>
  </si>
  <si>
    <t>Antialérgico</t>
  </si>
  <si>
    <t>Anti-inflamatório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</si>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</sst>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B490-F3DD-40A4-99DF-C2972A9C1C19}">
  <dimension ref="A1:H33"/>
  <sheetViews>
    <sheetView tabSelected="1" workbookViewId="0">
      <selection activeCell="B1" sqref="B1"/>
    </sheetView>
  </sheetViews>
  <sheetFormatPr defaultRowHeight="15" x14ac:dyDescent="0.2"/>
  <cols>
    <col min="1" max="1" width="30" style="1" bestFit="1" customWidth="1"/>
    <col min="2" max="2" width="36.140625" style="1" bestFit="1" customWidth="1"/>
    <col min="3" max="3" width="13.7109375" style="7" bestFit="1" customWidth="1"/>
    <col min="4" max="4" width="12.7109375" style="7" customWidth="1"/>
    <col min="5" max="5" width="10.85546875" style="7" bestFit="1" customWidth="1"/>
    <col min="6" max="6" width="12.85546875" style="7" customWidth="1"/>
    <col min="7" max="7" width="12.85546875" style="14" customWidth="1"/>
    <col min="8" max="8" width="12.7109375" style="5" bestFit="1" customWidth="1"/>
    <col min="9" max="16384" width="9.140625" style="1"/>
  </cols>
  <sheetData>
    <row r="1" spans="1:8" s="2" customFormat="1" ht="31.5" x14ac:dyDescent="0.25">
      <c r="A1" s="8" t="s">
        <v>0</v>
      </c>
      <c r="B1" s="8" t="s">
        <v>1</v>
      </c>
      <c r="C1" s="9" t="s">
        <v>5</v>
      </c>
      <c r="D1" s="9" t="s">
        <v>2</v>
      </c>
      <c r="E1" s="9" t="s">
        <v>3</v>
      </c>
      <c r="F1" s="9" t="s">
        <v>4</v>
      </c>
      <c r="G1" s="15" t="s">
        <v>23</v>
      </c>
      <c r="H1" s="10" t="s">
        <v>6</v>
      </c>
    </row>
    <row r="2" spans="1:8" s="3" customFormat="1" x14ac:dyDescent="0.2">
      <c r="A2" s="11" t="s">
        <v>7</v>
      </c>
      <c r="B2" s="11" t="s">
        <v>22</v>
      </c>
      <c r="C2" s="12">
        <v>451</v>
      </c>
      <c r="D2" s="12">
        <v>4000</v>
      </c>
      <c r="E2" s="12">
        <v>1500</v>
      </c>
      <c r="F2" s="12">
        <f>C2+D2-E2</f>
        <v>2951</v>
      </c>
      <c r="G2" s="16" t="str">
        <f>IF(F2&lt;10,"CRÍTICO",IF(AND(F2&gt;=10,F2&lt;=50),"BAIXO","OK"))</f>
        <v>OK</v>
      </c>
      <c r="H2" s="13">
        <v>46118</v>
      </c>
    </row>
    <row r="3" spans="1:8" s="3" customFormat="1" x14ac:dyDescent="0.2">
      <c r="A3" s="11" t="s">
        <v>8</v>
      </c>
      <c r="B3" s="11" t="s">
        <v>9</v>
      </c>
      <c r="C3" s="12">
        <v>1420</v>
      </c>
      <c r="D3" s="12">
        <v>2000</v>
      </c>
      <c r="E3" s="12">
        <v>3415</v>
      </c>
      <c r="F3" s="12">
        <f>C3+D3-E3</f>
        <v>5</v>
      </c>
      <c r="G3" s="16" t="str">
        <f>IF(F2&lt;10,"CRÍTICO",IF(AND(F2&gt;=10,F2&lt;=50),"BAIXO","OK"))</f>
        <v>OK</v>
      </c>
      <c r="H3" s="13">
        <v>46118</v>
      </c>
    </row>
    <row r="4" spans="1:8" s="3" customFormat="1" x14ac:dyDescent="0.2">
      <c r="A4" s="11" t="s">
        <v>10</v>
      </c>
      <c r="B4" s="11" t="s">
        <v>21</v>
      </c>
      <c r="C4" s="12">
        <v>201</v>
      </c>
      <c r="D4" s="12">
        <v>5000</v>
      </c>
      <c r="E4" s="12">
        <v>4000</v>
      </c>
      <c r="F4" s="12">
        <f t="shared" ref="F4:F9" si="0">C4+D4-E4</f>
        <v>1201</v>
      </c>
      <c r="G4" s="16" t="str">
        <f t="shared" ref="G4:G9" si="1">IF(F4&lt;10,"CRÍTICO",IF(AND(F4&gt;=10,F4&lt;=50),"BAIXO","OK"))</f>
        <v>OK</v>
      </c>
      <c r="H4" s="13">
        <v>46118</v>
      </c>
    </row>
    <row r="5" spans="1:8" s="3" customFormat="1" x14ac:dyDescent="0.2">
      <c r="A5" s="11" t="s">
        <v>11</v>
      </c>
      <c r="B5" s="11" t="s">
        <v>12</v>
      </c>
      <c r="C5" s="12">
        <v>504</v>
      </c>
      <c r="D5" s="12">
        <v>2500</v>
      </c>
      <c r="E5" s="12">
        <v>1500</v>
      </c>
      <c r="F5" s="12">
        <f t="shared" si="0"/>
        <v>1504</v>
      </c>
      <c r="G5" s="16" t="str">
        <f t="shared" si="1"/>
        <v>OK</v>
      </c>
      <c r="H5" s="13">
        <v>46116</v>
      </c>
    </row>
    <row r="6" spans="1:8" s="3" customFormat="1" x14ac:dyDescent="0.2">
      <c r="A6" s="11" t="s">
        <v>13</v>
      </c>
      <c r="B6" s="11" t="s">
        <v>14</v>
      </c>
      <c r="C6" s="12">
        <v>101</v>
      </c>
      <c r="D6" s="12">
        <v>1000</v>
      </c>
      <c r="E6" s="12">
        <v>1100</v>
      </c>
      <c r="F6" s="12">
        <f t="shared" si="0"/>
        <v>1</v>
      </c>
      <c r="G6" s="16" t="str">
        <f t="shared" si="1"/>
        <v>CRÍTICO</v>
      </c>
      <c r="H6" s="13">
        <v>46084</v>
      </c>
    </row>
    <row r="7" spans="1:8" s="3" customFormat="1" x14ac:dyDescent="0.2">
      <c r="A7" s="11" t="s">
        <v>15</v>
      </c>
      <c r="B7" s="11" t="s">
        <v>16</v>
      </c>
      <c r="C7" s="12">
        <v>40</v>
      </c>
      <c r="D7" s="12">
        <v>2000</v>
      </c>
      <c r="E7" s="12">
        <v>2040</v>
      </c>
      <c r="F7" s="12">
        <f t="shared" si="0"/>
        <v>0</v>
      </c>
      <c r="G7" s="16" t="str">
        <f t="shared" si="1"/>
        <v>CRÍTICO</v>
      </c>
      <c r="H7" s="13">
        <v>46117</v>
      </c>
    </row>
    <row r="8" spans="1:8" s="3" customFormat="1" x14ac:dyDescent="0.2">
      <c r="A8" s="11" t="s">
        <v>17</v>
      </c>
      <c r="B8" s="11" t="s">
        <v>18</v>
      </c>
      <c r="C8" s="12">
        <v>580</v>
      </c>
      <c r="D8" s="12">
        <v>5000</v>
      </c>
      <c r="E8" s="12">
        <v>5500</v>
      </c>
      <c r="F8" s="12">
        <f t="shared" si="0"/>
        <v>80</v>
      </c>
      <c r="G8" s="16" t="str">
        <f t="shared" si="1"/>
        <v>OK</v>
      </c>
      <c r="H8" s="13">
        <v>46081</v>
      </c>
    </row>
    <row r="9" spans="1:8" s="3" customFormat="1" x14ac:dyDescent="0.2">
      <c r="A9" s="11" t="s">
        <v>19</v>
      </c>
      <c r="B9" s="11" t="s">
        <v>20</v>
      </c>
      <c r="C9" s="12">
        <v>10</v>
      </c>
      <c r="D9" s="12">
        <v>3500</v>
      </c>
      <c r="E9" s="12">
        <v>3500</v>
      </c>
      <c r="F9" s="12">
        <f t="shared" si="0"/>
        <v>10</v>
      </c>
      <c r="G9" s="16" t="str">
        <f t="shared" si="1"/>
        <v>BAIXO</v>
      </c>
      <c r="H9" s="13">
        <v>46118</v>
      </c>
    </row>
    <row r="10" spans="1:8" s="3" customFormat="1" x14ac:dyDescent="0.2">
      <c r="C10" s="6"/>
      <c r="D10" s="6"/>
      <c r="E10" s="6"/>
      <c r="F10" s="6"/>
      <c r="G10" s="14"/>
      <c r="H10" s="4"/>
    </row>
    <row r="11" spans="1:8" s="3" customFormat="1" x14ac:dyDescent="0.2">
      <c r="C11" s="6"/>
      <c r="D11" s="6"/>
      <c r="E11" s="6"/>
      <c r="F11" s="6"/>
      <c r="G11" s="14"/>
      <c r="H11" s="4"/>
    </row>
    <row r="12" spans="1:8" s="3" customFormat="1" x14ac:dyDescent="0.2">
      <c r="C12" s="6"/>
      <c r="D12" s="6"/>
      <c r="E12" s="6"/>
      <c r="F12" s="6"/>
      <c r="G12" s="14"/>
      <c r="H12" s="4"/>
    </row>
    <row r="13" spans="1:8" s="3" customFormat="1" x14ac:dyDescent="0.2">
      <c r="C13" s="6"/>
      <c r="D13" s="6"/>
      <c r="E13" s="6"/>
      <c r="F13" s="6"/>
      <c r="G13" s="14"/>
      <c r="H13" s="4"/>
    </row>
    <row r="14" spans="1:8" s="3" customFormat="1" x14ac:dyDescent="0.2">
      <c r="C14" s="6"/>
      <c r="D14" s="6"/>
      <c r="E14" s="6"/>
      <c r="F14" s="6"/>
      <c r="G14" s="14"/>
      <c r="H14" s="4"/>
    </row>
    <row r="15" spans="1:8" s="3" customFormat="1" x14ac:dyDescent="0.2">
      <c r="C15" s="6"/>
      <c r="D15" s="6"/>
      <c r="E15" s="6"/>
      <c r="F15" s="6"/>
      <c r="G15" s="14"/>
      <c r="H15" s="4"/>
    </row>
    <row r="16" spans="1:8" s="3" customFormat="1" x14ac:dyDescent="0.2">
      <c r="C16" s="6"/>
      <c r="D16" s="6"/>
      <c r="E16" s="6"/>
      <c r="F16" s="6"/>
      <c r="G16" s="14"/>
      <c r="H16" s="4"/>
    </row>
    <row r="17" spans="3:8" s="3" customFormat="1" x14ac:dyDescent="0.2">
      <c r="C17" s="6"/>
      <c r="D17" s="6"/>
      <c r="E17" s="6"/>
      <c r="F17" s="6"/>
      <c r="G17" s="14"/>
      <c r="H17" s="4"/>
    </row>
    <row r="18" spans="3:8" s="3" customFormat="1" x14ac:dyDescent="0.2">
      <c r="C18" s="6"/>
      <c r="D18" s="6"/>
      <c r="E18" s="6"/>
      <c r="F18" s="6"/>
      <c r="G18" s="14"/>
      <c r="H18" s="4"/>
    </row>
    <row r="19" spans="3:8" s="3" customFormat="1" x14ac:dyDescent="0.2">
      <c r="C19" s="6"/>
      <c r="D19" s="6"/>
      <c r="E19" s="6"/>
      <c r="F19" s="6"/>
      <c r="G19" s="14"/>
      <c r="H19" s="4"/>
    </row>
    <row r="20" spans="3:8" s="3" customFormat="1" x14ac:dyDescent="0.2">
      <c r="C20" s="6"/>
      <c r="D20" s="6"/>
      <c r="E20" s="6"/>
      <c r="F20" s="6"/>
      <c r="G20" s="14"/>
      <c r="H20" s="4"/>
    </row>
    <row r="21" spans="3:8" s="3" customFormat="1" x14ac:dyDescent="0.2">
      <c r="C21" s="6"/>
      <c r="D21" s="6"/>
      <c r="E21" s="6"/>
      <c r="F21" s="6"/>
      <c r="G21" s="14"/>
      <c r="H21" s="4"/>
    </row>
    <row r="22" spans="3:8" s="3" customFormat="1" x14ac:dyDescent="0.2">
      <c r="C22" s="6"/>
      <c r="D22" s="6"/>
      <c r="E22" s="6"/>
      <c r="F22" s="6"/>
      <c r="G22" s="14"/>
      <c r="H22" s="4"/>
    </row>
    <row r="23" spans="3:8" s="3" customFormat="1" x14ac:dyDescent="0.2">
      <c r="C23" s="6"/>
      <c r="D23" s="6"/>
      <c r="E23" s="6"/>
      <c r="F23" s="6"/>
      <c r="G23" s="14"/>
      <c r="H23" s="4"/>
    </row>
    <row r="24" spans="3:8" s="3" customFormat="1" x14ac:dyDescent="0.2">
      <c r="C24" s="6"/>
      <c r="D24" s="6"/>
      <c r="E24" s="6"/>
      <c r="F24" s="6"/>
      <c r="G24" s="14"/>
      <c r="H24" s="4"/>
    </row>
    <row r="25" spans="3:8" s="3" customFormat="1" x14ac:dyDescent="0.2">
      <c r="C25" s="6"/>
      <c r="D25" s="6"/>
      <c r="E25" s="6"/>
      <c r="F25" s="6"/>
      <c r="G25" s="14"/>
      <c r="H25" s="4"/>
    </row>
    <row r="26" spans="3:8" s="3" customFormat="1" x14ac:dyDescent="0.2">
      <c r="C26" s="6"/>
      <c r="D26" s="6"/>
      <c r="E26" s="6"/>
      <c r="F26" s="6"/>
      <c r="G26" s="14"/>
      <c r="H26" s="4"/>
    </row>
    <row r="27" spans="3:8" s="3" customFormat="1" x14ac:dyDescent="0.2">
      <c r="C27" s="6"/>
      <c r="D27" s="6"/>
      <c r="E27" s="6"/>
      <c r="F27" s="6"/>
      <c r="G27" s="14"/>
      <c r="H27" s="4"/>
    </row>
    <row r="28" spans="3:8" s="3" customFormat="1" x14ac:dyDescent="0.2">
      <c r="C28" s="6"/>
      <c r="D28" s="6"/>
      <c r="E28" s="6"/>
      <c r="F28" s="6"/>
      <c r="G28" s="14"/>
      <c r="H28" s="4"/>
    </row>
    <row r="29" spans="3:8" s="3" customFormat="1" x14ac:dyDescent="0.2">
      <c r="C29" s="6"/>
      <c r="D29" s="6"/>
      <c r="E29" s="6"/>
      <c r="F29" s="6"/>
      <c r="G29" s="14"/>
      <c r="H29" s="4"/>
    </row>
    <row r="30" spans="3:8" s="3" customFormat="1" x14ac:dyDescent="0.2">
      <c r="C30" s="6"/>
      <c r="D30" s="6"/>
      <c r="E30" s="6"/>
      <c r="F30" s="6"/>
      <c r="G30" s="14"/>
      <c r="H30" s="4"/>
    </row>
    <row r="31" spans="3:8" s="3" customFormat="1" x14ac:dyDescent="0.2">
      <c r="C31" s="6"/>
      <c r="D31" s="6"/>
      <c r="E31" s="6"/>
      <c r="F31" s="6"/>
      <c r="G31" s="14"/>
      <c r="H31" s="4"/>
    </row>
    <row r="32" spans="3:8" s="3" customFormat="1" x14ac:dyDescent="0.2">
      <c r="C32" s="6"/>
      <c r="D32" s="6"/>
      <c r="E32" s="6"/>
      <c r="F32" s="6"/>
      <c r="G32" s="14"/>
      <c r="H32" s="4"/>
    </row>
    <row r="33" spans="3:8" s="3" customFormat="1" x14ac:dyDescent="0.2">
      <c r="C33" s="6"/>
      <c r="D33" s="6"/>
      <c r="E33" s="6"/>
      <c r="F33" s="6"/>
      <c r="G33" s="14"/>
      <c r="H33" s="4"/>
    </row>
  </sheetData>
  <autoFilter ref="A1:H9" xr:uid="{8605B490-F3DD-40A4-99DF-C2972A9C1C19}"/>
  <conditionalFormatting sqref="F2:F9">
    <cfRule type="cellIs" dxfId="2" priority="1" operator="greaterThan">
      <formula>50</formula>
    </cfRule>
    <cfRule type="cellIs" dxfId="1" priority="2" operator="between">
      <formula>10</formula>
      <formula>50</formula>
    </cfRule>
    <cfRule type="cellIs" dxfId="0" priority="3" operator="less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Controle_estoque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RAMOS DE PAIVA</dc:creator>
  <cp:lastModifiedBy>LEONARDO RAMOS DE PAIVA</cp:lastModifiedBy>
  <dcterms:created xsi:type="dcterms:W3CDTF">2026-04-06T13:12:01Z</dcterms:created>
  <dcterms:modified xsi:type="dcterms:W3CDTF">2026-04-06T17:39:29Z</dcterms:modified>
</cp:coreProperties>
</file>